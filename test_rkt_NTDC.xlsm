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45" yWindow="15" windowWidth="14625" windowHeight="8115"/>
  </bookViews>
  <sheets>
    <sheet name="6 (2)" sheetId="14" r:id="rId1"/>
    <sheet name="Лист1" sheetId="13" r:id="rId2"/>
  </sheets>
  <functionGroups builtInGroupCount="17"/>
  <definedNames>
    <definedName name="component">'6 (2)'!$CB$2:$CB$4</definedName>
  </definedNames>
  <calcPr calcId="145621"/>
</workbook>
</file>

<file path=xl/calcChain.xml><?xml version="1.0" encoding="utf-8"?>
<calcChain xmlns="http://schemas.openxmlformats.org/spreadsheetml/2006/main">
  <c r="L21" i="14" l="1"/>
</calcChain>
</file>

<file path=xl/sharedStrings.xml><?xml version="1.0" encoding="utf-8"?>
<sst xmlns="http://schemas.openxmlformats.org/spreadsheetml/2006/main" count="135" uniqueCount="99">
  <si>
    <t>phi=</t>
  </si>
  <si>
    <t>p(bar)</t>
  </si>
  <si>
    <t>T(K)</t>
  </si>
  <si>
    <t>для HP Т=3000К!</t>
  </si>
  <si>
    <t>T1=</t>
  </si>
  <si>
    <t>P1=</t>
  </si>
  <si>
    <t>T2=</t>
  </si>
  <si>
    <t>oxid</t>
  </si>
  <si>
    <t>name</t>
  </si>
  <si>
    <t>fuel</t>
  </si>
  <si>
    <t>O2</t>
  </si>
  <si>
    <t>Jet-A(L)</t>
  </si>
  <si>
    <t>кол-во компонентов</t>
  </si>
  <si>
    <t>тип</t>
  </si>
  <si>
    <t>имя</t>
  </si>
  <si>
    <t>Т0</t>
  </si>
  <si>
    <t>доля</t>
  </si>
  <si>
    <t>или вес</t>
  </si>
  <si>
    <t>энергия</t>
  </si>
  <si>
    <t>KJ/KG-MOL</t>
  </si>
  <si>
    <t>temperature</t>
  </si>
  <si>
    <t>pressure</t>
  </si>
  <si>
    <t>density</t>
  </si>
  <si>
    <t>enthalpy</t>
  </si>
  <si>
    <t>int. energy</t>
  </si>
  <si>
    <t>entropy</t>
  </si>
  <si>
    <t>molec. Weight</t>
  </si>
  <si>
    <t>heat capacity</t>
  </si>
  <si>
    <t>gamma</t>
  </si>
  <si>
    <t>sonic velocity</t>
  </si>
  <si>
    <t>O/F</t>
  </si>
  <si>
    <t>%FUEL</t>
  </si>
  <si>
    <t>R,EQ.RATIO</t>
  </si>
  <si>
    <t>PHI,EQ.RATIO</t>
  </si>
  <si>
    <t xml:space="preserve">ThrustCoeff(i)                                     </t>
  </si>
  <si>
    <t xml:space="preserve">MACH NUMBER  </t>
  </si>
  <si>
    <t xml:space="preserve">Ae/At        </t>
  </si>
  <si>
    <t xml:space="preserve">H2O            </t>
  </si>
  <si>
    <t>M (1/n )</t>
  </si>
  <si>
    <t xml:space="preserve">Cp  (J/kg K) </t>
  </si>
  <si>
    <t xml:space="preserve">Gamma                              </t>
  </si>
  <si>
    <t xml:space="preserve">Pp (bar)       </t>
  </si>
  <si>
    <t xml:space="preserve">Tt (K)                                       </t>
  </si>
  <si>
    <t xml:space="preserve">ro (kg/m3) </t>
  </si>
  <si>
    <t>Ssum (J/kg K)</t>
  </si>
  <si>
    <t xml:space="preserve">Hsum (J/kg)                           </t>
  </si>
  <si>
    <t>u (J/kg)</t>
  </si>
  <si>
    <t xml:space="preserve">I vac (m/s)      </t>
  </si>
  <si>
    <t xml:space="preserve">Isp (m/s)                   </t>
  </si>
  <si>
    <t xml:space="preserve">*H2            </t>
  </si>
  <si>
    <t>Acat</t>
  </si>
  <si>
    <t>Supar</t>
  </si>
  <si>
    <t xml:space="preserve">*OH            </t>
  </si>
  <si>
    <t xml:space="preserve">*O2            </t>
  </si>
  <si>
    <t xml:space="preserve">*O             </t>
  </si>
  <si>
    <t xml:space="preserve">состав </t>
  </si>
  <si>
    <t>продуктов</t>
  </si>
  <si>
    <t>Reactants with user-provided names and properties</t>
  </si>
  <si>
    <t>Chem. Formula with atomic symbols, numbers for each reactant</t>
  </si>
  <si>
    <t>Энергия</t>
  </si>
  <si>
    <t>number</t>
  </si>
  <si>
    <t>Sym1</t>
  </si>
  <si>
    <t>Sym2</t>
  </si>
  <si>
    <t>Sym3</t>
  </si>
  <si>
    <t>Sym4</t>
  </si>
  <si>
    <t>Sym5</t>
  </si>
  <si>
    <t>H</t>
  </si>
  <si>
    <t xml:space="preserve">*H             </t>
  </si>
  <si>
    <t xml:space="preserve">HO2            </t>
  </si>
  <si>
    <t xml:space="preserve">H2O2           </t>
  </si>
  <si>
    <t>кол-во  доп. компонентов</t>
  </si>
  <si>
    <t>H2</t>
  </si>
  <si>
    <t>Test1</t>
  </si>
  <si>
    <t>Test2</t>
  </si>
  <si>
    <t>C</t>
  </si>
  <si>
    <t>AL</t>
  </si>
  <si>
    <t xml:space="preserve">AL(OH)3        </t>
  </si>
  <si>
    <t xml:space="preserve">*CO            </t>
  </si>
  <si>
    <t xml:space="preserve">*CO2           </t>
  </si>
  <si>
    <t xml:space="preserve">AL2O3(L)       </t>
  </si>
  <si>
    <t>NULL</t>
  </si>
  <si>
    <t>ok</t>
  </si>
  <si>
    <t>Nfz</t>
  </si>
  <si>
    <t>Варианты задания для ROCKET:</t>
  </si>
  <si>
    <t xml:space="preserve">Acat&gt;0 </t>
  </si>
  <si>
    <t>-&gt;</t>
  </si>
  <si>
    <t>Acat=0</t>
  </si>
  <si>
    <t>IAC</t>
  </si>
  <si>
    <t>FAC, equilibr.</t>
  </si>
  <si>
    <t>Nfz=1</t>
  </si>
  <si>
    <t>Nfz=0</t>
  </si>
  <si>
    <t xml:space="preserve"> equilibr.</t>
  </si>
  <si>
    <t>Freezing point - combustor</t>
  </si>
  <si>
    <t>Nfz=2</t>
  </si>
  <si>
    <t>Freezing point - throat</t>
  </si>
  <si>
    <t>THROAT</t>
  </si>
  <si>
    <t>EXIT</t>
  </si>
  <si>
    <t>INJECTOR</t>
  </si>
  <si>
    <t>COMB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</si>
</sst>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2"/>
      <name val="Calibri"/>
      <family val="2"/>
      <charset val="204"/>
    </font>
    <font>
      <sz val="10"/>
      <name val="Arial Cyr"/>
    </font>
    <font>
      <b/>
      <sz val="12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42">
    <xf numFmtId="0" fontId="0" fillId="0" borderId="0" xfId="0"/>
    <xf numFmtId="0" fontId="2" fillId="0" borderId="0" xfId="1" quotePrefix="1" applyFont="1" applyFill="1" applyBorder="1"/>
    <xf numFmtId="0" fontId="2" fillId="0" borderId="0" xfId="1" applyFont="1" applyFill="1"/>
    <xf numFmtId="0" fontId="4" fillId="0" borderId="0" xfId="1" applyFont="1" applyFill="1"/>
    <xf numFmtId="0" fontId="2" fillId="0" borderId="0" xfId="1" applyFont="1" applyFill="1" applyAlignment="1">
      <alignment horizontal="justify"/>
    </xf>
    <xf numFmtId="0" fontId="2" fillId="0" borderId="0" xfId="1" applyFont="1" applyFill="1" applyAlignment="1">
      <alignment horizontal="right"/>
    </xf>
    <xf numFmtId="0" fontId="2" fillId="0" borderId="1" xfId="1" applyFont="1" applyFill="1" applyBorder="1"/>
    <xf numFmtId="0" fontId="4" fillId="0" borderId="1" xfId="1" applyFont="1" applyFill="1" applyBorder="1"/>
    <xf numFmtId="0" fontId="2" fillId="0" borderId="1" xfId="1" applyFont="1" applyFill="1" applyBorder="1" applyAlignment="1">
      <alignment horizontal="right"/>
    </xf>
    <xf numFmtId="0" fontId="2" fillId="5" borderId="0" xfId="1" applyFont="1" applyFill="1"/>
    <xf numFmtId="0" fontId="2" fillId="8" borderId="0" xfId="1" applyFont="1" applyFill="1"/>
    <xf numFmtId="0" fontId="4" fillId="5" borderId="0" xfId="1" applyFont="1" applyFill="1"/>
    <xf numFmtId="0" fontId="6" fillId="5" borderId="0" xfId="2" applyFont="1" applyFill="1"/>
    <xf numFmtId="0" fontId="6" fillId="4" borderId="1" xfId="2" applyFont="1" applyFill="1" applyBorder="1"/>
    <xf numFmtId="0" fontId="2" fillId="0" borderId="0" xfId="2" applyFont="1" applyFill="1" applyAlignment="1">
      <alignment wrapText="1"/>
    </xf>
    <xf numFmtId="0" fontId="6" fillId="0" borderId="0" xfId="2" applyFont="1"/>
    <xf numFmtId="0" fontId="6" fillId="5" borderId="1" xfId="0" applyFont="1" applyFill="1" applyBorder="1"/>
    <xf numFmtId="0" fontId="6" fillId="5" borderId="1" xfId="2" applyFont="1" applyFill="1" applyBorder="1"/>
    <xf numFmtId="2" fontId="6" fillId="4" borderId="0" xfId="2" applyNumberFormat="1" applyFont="1" applyFill="1"/>
    <xf numFmtId="0" fontId="6" fillId="0" borderId="1" xfId="2" applyFont="1" applyBorder="1"/>
    <xf numFmtId="0" fontId="6" fillId="0" borderId="1" xfId="0" applyFont="1" applyBorder="1"/>
    <xf numFmtId="0" fontId="6" fillId="0" borderId="0" xfId="0" applyFont="1" applyFill="1"/>
    <xf numFmtId="0" fontId="6" fillId="0" borderId="0" xfId="0" applyFont="1"/>
    <xf numFmtId="0" fontId="6" fillId="5" borderId="0" xfId="0" applyFont="1" applyFill="1"/>
    <xf numFmtId="0" fontId="2" fillId="0" borderId="0" xfId="2" applyFont="1" applyFill="1"/>
    <xf numFmtId="0" fontId="6" fillId="4" borderId="0" xfId="2" applyFont="1" applyFill="1"/>
    <xf numFmtId="9" fontId="6" fillId="5" borderId="1" xfId="2" applyNumberFormat="1" applyFont="1" applyFill="1" applyBorder="1"/>
    <xf numFmtId="0" fontId="6" fillId="5" borderId="2" xfId="0" applyFont="1" applyFill="1" applyBorder="1"/>
    <xf numFmtId="0" fontId="6" fillId="5" borderId="2" xfId="2" applyFont="1" applyFill="1" applyBorder="1"/>
    <xf numFmtId="0" fontId="6" fillId="0" borderId="0" xfId="2" applyFont="1" applyFill="1"/>
    <xf numFmtId="0" fontId="6" fillId="2" borderId="0" xfId="2" applyFont="1" applyFill="1"/>
    <xf numFmtId="0" fontId="6" fillId="6" borderId="0" xfId="0" applyFont="1" applyFill="1"/>
    <xf numFmtId="0" fontId="6" fillId="4" borderId="1" xfId="0" applyFont="1" applyFill="1" applyBorder="1"/>
    <xf numFmtId="0" fontId="6" fillId="7" borderId="0" xfId="0" applyFont="1" applyFill="1"/>
    <xf numFmtId="0" fontId="6" fillId="3" borderId="0" xfId="2" applyFont="1" applyFill="1"/>
    <xf numFmtId="0" fontId="7" fillId="0" borderId="0" xfId="2" applyFont="1" applyFill="1"/>
    <xf numFmtId="0" fontId="6" fillId="0" borderId="1" xfId="2" applyFont="1" applyFill="1" applyBorder="1"/>
    <xf numFmtId="0" fontId="6" fillId="0" borderId="1" xfId="0" applyFont="1" applyFill="1" applyBorder="1"/>
    <xf numFmtId="0" fontId="6" fillId="8" borderId="0" xfId="2" applyFont="1" applyFill="1"/>
    <xf numFmtId="0" fontId="2" fillId="5" borderId="0" xfId="1" quotePrefix="1" applyFont="1" applyFill="1" applyBorder="1"/>
    <xf numFmtId="0" fontId="2" fillId="0" borderId="0" xfId="2" applyFont="1" applyFill="1" applyAlignment="1">
      <alignment wrapText="1"/>
    </xf>
    <xf numFmtId="0" fontId="0" fillId="0" borderId="0" xfId="0" applyAlignment="1"/>
  </cellXfs>
  <cellStyles count="3">
    <cellStyle name="Обычный" xfId="0" builtinId="0"/>
    <cellStyle name="Обычный_Book_fe_s" xfId="1"/>
    <cellStyle name="Обычный_test_CEA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16</xdr:row>
          <xdr:rowOff>57150</xdr:rowOff>
        </xdr:from>
        <xdr:to>
          <xdr:col>3</xdr:col>
          <xdr:colOff>495300</xdr:colOff>
          <xdr:row>18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HP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16</xdr:row>
          <xdr:rowOff>28575</xdr:rowOff>
        </xdr:from>
        <xdr:to>
          <xdr:col>0</xdr:col>
          <xdr:colOff>809625</xdr:colOff>
          <xdr:row>18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INIT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16</xdr:row>
          <xdr:rowOff>152400</xdr:rowOff>
        </xdr:from>
        <xdr:to>
          <xdr:col>2</xdr:col>
          <xdr:colOff>704850</xdr:colOff>
          <xdr:row>18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123825</xdr:rowOff>
        </xdr:from>
        <xdr:to>
          <xdr:col>6</xdr:col>
          <xdr:colOff>695325</xdr:colOff>
          <xdr:row>18</xdr:row>
          <xdr:rowOff>104775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Isoent_T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16</xdr:row>
          <xdr:rowOff>0</xdr:rowOff>
        </xdr:from>
        <xdr:to>
          <xdr:col>15</xdr:col>
          <xdr:colOff>323850</xdr:colOff>
          <xdr:row>17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stat_Tot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19</xdr:row>
          <xdr:rowOff>0</xdr:rowOff>
        </xdr:from>
        <xdr:to>
          <xdr:col>15</xdr:col>
          <xdr:colOff>323850</xdr:colOff>
          <xdr:row>20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Tot_stat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16</xdr:row>
          <xdr:rowOff>38100</xdr:rowOff>
        </xdr:from>
        <xdr:to>
          <xdr:col>2</xdr:col>
          <xdr:colOff>704850</xdr:colOff>
          <xdr:row>18</xdr:row>
          <xdr:rowOff>114300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26</xdr:row>
          <xdr:rowOff>66675</xdr:rowOff>
        </xdr:from>
        <xdr:to>
          <xdr:col>0</xdr:col>
          <xdr:colOff>762000</xdr:colOff>
          <xdr:row>28</xdr:row>
          <xdr:rowOff>180975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Rocket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CB58"/>
  <sheetViews>
    <sheetView tabSelected="1" topLeftCell="A14" zoomScale="70" zoomScaleNormal="70" workbookViewId="0">
      <selection activeCell="P15" sqref="P15"/>
    </sheetView>
  </sheetViews>
  <sheetFormatPr defaultColWidth="9.140625" defaultRowHeight="15.75" x14ac:dyDescent="0.25"/>
  <cols>
    <col min="1" max="1" width="14.140625" style="22" customWidth="1"/>
    <col min="2" max="2" width="17.140625" style="22" customWidth="1"/>
    <col min="3" max="3" width="15.5703125" style="22" customWidth="1"/>
    <col min="4" max="4" width="12.85546875" style="22" customWidth="1"/>
    <col min="5" max="5" width="11.5703125" style="22" customWidth="1"/>
    <col min="6" max="7" width="10.5703125" style="22" bestFit="1" customWidth="1"/>
    <col min="8" max="8" width="9.140625" style="22"/>
    <col min="9" max="10" width="9.28515625" style="22" bestFit="1" customWidth="1"/>
    <col min="11" max="11" width="14.5703125" style="22" customWidth="1"/>
    <col min="12" max="12" width="9.28515625" style="22" bestFit="1" customWidth="1"/>
    <col min="13" max="13" width="11.28515625" style="22" customWidth="1"/>
    <col min="14" max="14" width="9.28515625" style="22" bestFit="1" customWidth="1"/>
    <col min="15" max="16384" width="9.140625" style="22"/>
  </cols>
  <sheetData>
    <row r="1" spans="1:80" ht="25.15" customHeight="1" x14ac:dyDescent="0.25">
      <c r="A1" s="12" t="s">
        <v>0</v>
      </c>
      <c r="B1" s="12">
        <v>1</v>
      </c>
      <c r="C1" s="13" t="s">
        <v>20</v>
      </c>
      <c r="D1" s="13">
        <v>2447.3569559766165</v>
      </c>
      <c r="E1" s="14" t="s">
        <v>12</v>
      </c>
      <c r="F1" s="15">
        <v>2</v>
      </c>
      <c r="G1" s="16" t="s">
        <v>9</v>
      </c>
      <c r="H1" s="17" t="s">
        <v>71</v>
      </c>
      <c r="I1" s="17">
        <v>293</v>
      </c>
      <c r="J1" s="17">
        <v>1</v>
      </c>
      <c r="K1" s="18">
        <v>-148.41207035570025</v>
      </c>
      <c r="L1" s="19">
        <v>5.5273296311497688E-5</v>
      </c>
      <c r="M1" s="20" t="s">
        <v>76</v>
      </c>
      <c r="N1" s="21"/>
      <c r="P1" s="19">
        <v>3.5948250442743301E-3</v>
      </c>
      <c r="Q1" s="20" t="s">
        <v>67</v>
      </c>
    </row>
    <row r="2" spans="1:80" x14ac:dyDescent="0.25">
      <c r="A2" s="23"/>
      <c r="B2" s="23"/>
      <c r="C2" s="13" t="s">
        <v>21</v>
      </c>
      <c r="D2" s="13">
        <v>10</v>
      </c>
      <c r="E2" s="24"/>
      <c r="F2" s="15"/>
      <c r="G2" s="16" t="s">
        <v>7</v>
      </c>
      <c r="H2" s="16" t="s">
        <v>10</v>
      </c>
      <c r="I2" s="17">
        <v>293</v>
      </c>
      <c r="J2" s="17">
        <v>1</v>
      </c>
      <c r="K2" s="18">
        <v>-151.23484013362284</v>
      </c>
      <c r="L2" s="19">
        <v>2.7095488621853292E-4</v>
      </c>
      <c r="M2" s="20" t="s">
        <v>77</v>
      </c>
      <c r="N2" s="21"/>
      <c r="P2" s="19">
        <v>2.3640900326427072E-4</v>
      </c>
      <c r="Q2" s="20" t="s">
        <v>68</v>
      </c>
      <c r="CB2" s="22" t="s">
        <v>8</v>
      </c>
    </row>
    <row r="3" spans="1:80" x14ac:dyDescent="0.25">
      <c r="A3" s="23"/>
      <c r="B3" s="23"/>
      <c r="C3" s="13" t="s">
        <v>22</v>
      </c>
      <c r="D3" s="13">
        <v>1.4338888815276782</v>
      </c>
      <c r="E3" s="24"/>
      <c r="F3" s="15"/>
      <c r="G3" s="16" t="s">
        <v>7</v>
      </c>
      <c r="H3" s="16" t="s">
        <v>10</v>
      </c>
      <c r="I3" s="16">
        <v>283</v>
      </c>
      <c r="J3" s="16">
        <v>1</v>
      </c>
      <c r="K3" s="25"/>
      <c r="L3" s="19">
        <v>4.0472224354743958E-2</v>
      </c>
      <c r="M3" s="20" t="s">
        <v>78</v>
      </c>
      <c r="N3" s="21"/>
      <c r="P3" s="19">
        <v>1.833835244178772E-2</v>
      </c>
      <c r="Q3" s="20" t="s">
        <v>49</v>
      </c>
      <c r="CB3" s="22" t="s">
        <v>7</v>
      </c>
    </row>
    <row r="4" spans="1:80" x14ac:dyDescent="0.25">
      <c r="C4" s="13" t="s">
        <v>23</v>
      </c>
      <c r="D4" s="13">
        <v>-4130.6181285113435</v>
      </c>
      <c r="E4" s="24"/>
      <c r="F4" s="15"/>
      <c r="G4" s="26" t="s">
        <v>7</v>
      </c>
      <c r="H4" s="16" t="s">
        <v>11</v>
      </c>
      <c r="I4" s="17">
        <v>283</v>
      </c>
      <c r="J4" s="17">
        <v>0.5</v>
      </c>
      <c r="K4" s="25"/>
      <c r="L4" s="19">
        <v>1.0190202738158405E-4</v>
      </c>
      <c r="M4" s="20" t="s">
        <v>68</v>
      </c>
      <c r="N4" s="21"/>
      <c r="P4" s="19">
        <v>0.73671960830688477</v>
      </c>
      <c r="Q4" s="20" t="s">
        <v>37</v>
      </c>
      <c r="CB4" s="22" t="s">
        <v>9</v>
      </c>
    </row>
    <row r="5" spans="1:80" x14ac:dyDescent="0.25">
      <c r="A5" s="15"/>
      <c r="B5" s="15"/>
      <c r="C5" s="13" t="s">
        <v>24</v>
      </c>
      <c r="D5" s="13">
        <v>-701.5347286440981</v>
      </c>
      <c r="E5" s="24"/>
      <c r="F5" s="15">
        <v>2</v>
      </c>
      <c r="G5" s="27" t="s">
        <v>13</v>
      </c>
      <c r="H5" s="28" t="s">
        <v>14</v>
      </c>
      <c r="I5" s="23" t="s">
        <v>15</v>
      </c>
      <c r="J5" s="23" t="s">
        <v>16</v>
      </c>
      <c r="K5" s="25" t="s">
        <v>18</v>
      </c>
      <c r="L5" s="19">
        <v>3.139547334285453E-5</v>
      </c>
      <c r="M5" s="20" t="s">
        <v>49</v>
      </c>
      <c r="N5" s="21"/>
      <c r="P5" s="19">
        <v>2.6789248295244761E-5</v>
      </c>
      <c r="Q5" s="20" t="s">
        <v>69</v>
      </c>
    </row>
    <row r="6" spans="1:80" x14ac:dyDescent="0.25">
      <c r="A6" s="15"/>
      <c r="B6" s="15"/>
      <c r="C6" s="13" t="s">
        <v>25</v>
      </c>
      <c r="D6" s="13">
        <v>9153.3658411974702</v>
      </c>
      <c r="E6" s="24"/>
      <c r="F6" s="15"/>
      <c r="G6" s="23"/>
      <c r="H6" s="23"/>
      <c r="I6" s="23"/>
      <c r="J6" s="23" t="s">
        <v>17</v>
      </c>
      <c r="K6" s="25" t="s">
        <v>19</v>
      </c>
      <c r="L6" s="19">
        <v>0.16122974455356598</v>
      </c>
      <c r="M6" s="20" t="s">
        <v>37</v>
      </c>
      <c r="N6" s="21"/>
      <c r="P6" s="19">
        <v>2.5518408045172691E-2</v>
      </c>
      <c r="Q6" s="20" t="s">
        <v>54</v>
      </c>
    </row>
    <row r="7" spans="1:80" x14ac:dyDescent="0.25">
      <c r="A7" s="15"/>
      <c r="B7" s="15"/>
      <c r="C7" s="13" t="s">
        <v>26</v>
      </c>
      <c r="D7" s="13">
        <v>29.177593847265335</v>
      </c>
      <c r="E7" s="24"/>
      <c r="F7" s="15"/>
      <c r="G7" s="23" t="s">
        <v>7</v>
      </c>
      <c r="H7" s="23" t="s">
        <v>10</v>
      </c>
      <c r="I7" s="23">
        <v>300</v>
      </c>
      <c r="J7" s="21"/>
      <c r="L7" s="19">
        <v>5.0687076509348117E-6</v>
      </c>
      <c r="M7" s="20" t="s">
        <v>69</v>
      </c>
      <c r="N7" s="21"/>
      <c r="P7" s="19">
        <v>0.12686499953269958</v>
      </c>
      <c r="Q7" s="20" t="s">
        <v>52</v>
      </c>
    </row>
    <row r="8" spans="1:80" x14ac:dyDescent="0.25">
      <c r="A8" s="15"/>
      <c r="B8" s="15"/>
      <c r="C8" s="13" t="s">
        <v>27</v>
      </c>
      <c r="D8" s="13">
        <v>1999.5599656688437</v>
      </c>
      <c r="E8" s="24"/>
      <c r="F8" s="15"/>
      <c r="G8" s="15"/>
      <c r="H8" s="29"/>
      <c r="I8" s="29"/>
      <c r="J8" s="29"/>
      <c r="L8" s="19">
        <v>1.6021751798689365E-3</v>
      </c>
      <c r="M8" s="20" t="s">
        <v>54</v>
      </c>
      <c r="N8" s="21"/>
      <c r="P8" s="19">
        <v>8.8700324296951294E-2</v>
      </c>
      <c r="Q8" s="20" t="s">
        <v>53</v>
      </c>
    </row>
    <row r="9" spans="1:80" x14ac:dyDescent="0.25">
      <c r="A9" s="15"/>
      <c r="B9" s="15"/>
      <c r="C9" s="13" t="s">
        <v>28</v>
      </c>
      <c r="D9" s="13">
        <v>1.1863577269454892</v>
      </c>
      <c r="E9" s="24"/>
      <c r="F9" s="15"/>
      <c r="G9" s="15"/>
      <c r="H9" s="29"/>
      <c r="I9" s="29"/>
      <c r="J9" s="29"/>
      <c r="L9" s="19">
        <v>9.65165626257658E-3</v>
      </c>
      <c r="M9" s="20" t="s">
        <v>52</v>
      </c>
      <c r="N9" s="21"/>
    </row>
    <row r="10" spans="1:80" x14ac:dyDescent="0.25">
      <c r="A10" s="23" t="s">
        <v>1</v>
      </c>
      <c r="B10" s="12">
        <v>10</v>
      </c>
      <c r="C10" s="13" t="s">
        <v>29</v>
      </c>
      <c r="D10" s="13">
        <v>909.59922785461526</v>
      </c>
      <c r="E10" s="24"/>
      <c r="F10" s="15"/>
      <c r="G10" s="15"/>
      <c r="H10" s="29"/>
      <c r="I10" s="29"/>
      <c r="J10" s="29"/>
      <c r="L10" s="19">
        <v>0.75844156742095947</v>
      </c>
      <c r="M10" s="20" t="s">
        <v>53</v>
      </c>
      <c r="N10" s="21"/>
    </row>
    <row r="11" spans="1:80" x14ac:dyDescent="0.25">
      <c r="A11" s="23" t="s">
        <v>2</v>
      </c>
      <c r="B11" s="12">
        <v>1299</v>
      </c>
      <c r="C11" s="13" t="s">
        <v>30</v>
      </c>
      <c r="D11" s="13">
        <v>21.359016636937845</v>
      </c>
      <c r="E11" s="29"/>
      <c r="F11" s="15"/>
      <c r="G11" s="15"/>
      <c r="H11" s="29"/>
      <c r="I11" s="29"/>
      <c r="J11" s="29"/>
      <c r="L11" s="19">
        <v>2.8132131323218346E-2</v>
      </c>
      <c r="M11" s="20" t="s">
        <v>79</v>
      </c>
      <c r="P11" s="30"/>
    </row>
    <row r="12" spans="1:80" x14ac:dyDescent="0.25">
      <c r="A12" s="31" t="s">
        <v>3</v>
      </c>
      <c r="C12" s="32" t="s">
        <v>31</v>
      </c>
      <c r="D12" s="32">
        <v>4.4724686073535382</v>
      </c>
      <c r="L12" s="19">
        <v>0</v>
      </c>
      <c r="M12" s="20"/>
      <c r="P12" s="30"/>
    </row>
    <row r="13" spans="1:80" x14ac:dyDescent="0.25">
      <c r="C13" s="32" t="s">
        <v>32</v>
      </c>
      <c r="D13" s="32">
        <v>0.20000000000000004</v>
      </c>
      <c r="L13" s="19">
        <v>0</v>
      </c>
      <c r="M13" s="20"/>
    </row>
    <row r="14" spans="1:80" x14ac:dyDescent="0.25">
      <c r="C14" s="32" t="s">
        <v>33</v>
      </c>
      <c r="D14" s="32">
        <v>0.2</v>
      </c>
      <c r="L14" s="19">
        <v>0</v>
      </c>
      <c r="M14" s="20"/>
    </row>
    <row r="15" spans="1:80" x14ac:dyDescent="0.25">
      <c r="B15" s="33" t="s">
        <v>81</v>
      </c>
      <c r="D15" s="33" t="s">
        <v>80</v>
      </c>
      <c r="L15" s="19">
        <v>0</v>
      </c>
      <c r="M15" s="20"/>
    </row>
    <row r="16" spans="1:80" x14ac:dyDescent="0.25">
      <c r="L16" s="19">
        <v>0</v>
      </c>
      <c r="M16" s="20"/>
    </row>
    <row r="17" spans="1:23" x14ac:dyDescent="0.25">
      <c r="E17" s="23" t="s">
        <v>4</v>
      </c>
      <c r="F17" s="23">
        <v>300</v>
      </c>
      <c r="L17" s="19">
        <v>0</v>
      </c>
      <c r="M17" s="20"/>
      <c r="N17" s="12">
        <v>230</v>
      </c>
    </row>
    <row r="18" spans="1:23" x14ac:dyDescent="0.25">
      <c r="E18" s="23" t="s">
        <v>5</v>
      </c>
      <c r="F18" s="23">
        <v>10</v>
      </c>
      <c r="L18" s="19">
        <v>0</v>
      </c>
      <c r="M18" s="20"/>
      <c r="N18" s="12">
        <v>10</v>
      </c>
    </row>
    <row r="19" spans="1:23" x14ac:dyDescent="0.25">
      <c r="E19" s="23" t="s">
        <v>6</v>
      </c>
      <c r="F19" s="23">
        <v>597</v>
      </c>
      <c r="L19" s="19">
        <v>0</v>
      </c>
      <c r="M19" s="20"/>
      <c r="N19" s="23">
        <v>1</v>
      </c>
    </row>
    <row r="20" spans="1:23" x14ac:dyDescent="0.25">
      <c r="L20" s="19">
        <v>0</v>
      </c>
      <c r="M20" s="20"/>
    </row>
    <row r="21" spans="1:23" ht="28.15" customHeight="1" x14ac:dyDescent="0.25">
      <c r="I21" s="40" t="s">
        <v>70</v>
      </c>
      <c r="J21" s="41"/>
      <c r="L21" s="34">
        <f>SUM(L1:L20)</f>
        <v>0.99999409348583868</v>
      </c>
    </row>
    <row r="22" spans="1:23" s="21" customFormat="1" x14ac:dyDescent="0.25">
      <c r="A22" s="35"/>
      <c r="B22" s="29"/>
      <c r="C22" s="29"/>
      <c r="D22" s="29"/>
      <c r="E22" s="29"/>
      <c r="F22" s="29"/>
      <c r="G22" s="29"/>
      <c r="H22" s="2"/>
      <c r="I22" s="9">
        <v>0</v>
      </c>
      <c r="J22" s="2"/>
      <c r="K22" s="2"/>
      <c r="L22" s="2"/>
      <c r="M22" s="2"/>
      <c r="N22" s="2"/>
    </row>
    <row r="23" spans="1:23" s="21" customFormat="1" x14ac:dyDescent="0.25">
      <c r="A23" s="29"/>
      <c r="B23" s="29"/>
      <c r="C23" s="29"/>
      <c r="D23" s="29"/>
      <c r="E23" s="29"/>
      <c r="F23" s="29"/>
      <c r="G23" s="29"/>
      <c r="H23" s="2"/>
      <c r="I23" s="2"/>
      <c r="J23" s="2"/>
      <c r="K23" s="2"/>
      <c r="L23" s="2"/>
      <c r="M23" s="2"/>
      <c r="N23" s="2"/>
    </row>
    <row r="24" spans="1:23" s="21" customFormat="1" x14ac:dyDescent="0.25">
      <c r="A24" s="11" t="s">
        <v>50</v>
      </c>
      <c r="B24" s="9">
        <v>1.5</v>
      </c>
      <c r="C24" s="6"/>
      <c r="D24" s="7" t="s">
        <v>97</v>
      </c>
      <c r="E24" s="7" t="s">
        <v>98</v>
      </c>
      <c r="F24" s="7" t="s">
        <v>95</v>
      </c>
      <c r="G24" s="7" t="s">
        <v>96</v>
      </c>
      <c r="H24" s="2"/>
      <c r="I24" s="3" t="s">
        <v>57</v>
      </c>
      <c r="J24" s="3"/>
      <c r="K24" s="3"/>
      <c r="L24" s="3"/>
      <c r="M24" s="2"/>
      <c r="N24" s="21" t="s">
        <v>58</v>
      </c>
    </row>
    <row r="25" spans="1:23" s="21" customFormat="1" x14ac:dyDescent="0.25">
      <c r="A25" s="9" t="s">
        <v>51</v>
      </c>
      <c r="B25" s="11">
        <v>1</v>
      </c>
      <c r="C25" s="6" t="s">
        <v>41</v>
      </c>
      <c r="D25" s="7">
        <v>10</v>
      </c>
      <c r="E25" s="6">
        <v>8.2084247238223149</v>
      </c>
      <c r="F25" s="36">
        <v>5.3155501296063843</v>
      </c>
      <c r="G25" s="36">
        <v>5.3155501296063843</v>
      </c>
      <c r="H25" s="2"/>
      <c r="I25" s="27" t="s">
        <v>13</v>
      </c>
      <c r="J25" s="28" t="s">
        <v>14</v>
      </c>
      <c r="K25" s="23" t="s">
        <v>15</v>
      </c>
      <c r="L25" s="23" t="s">
        <v>16</v>
      </c>
      <c r="M25" s="2" t="s">
        <v>59</v>
      </c>
      <c r="N25" s="2" t="s">
        <v>61</v>
      </c>
      <c r="O25" s="21" t="s">
        <v>60</v>
      </c>
      <c r="P25" s="2" t="s">
        <v>62</v>
      </c>
      <c r="Q25" s="21" t="s">
        <v>60</v>
      </c>
      <c r="R25" s="2" t="s">
        <v>63</v>
      </c>
      <c r="S25" s="21" t="s">
        <v>60</v>
      </c>
      <c r="T25" s="2" t="s">
        <v>64</v>
      </c>
      <c r="U25" s="21" t="s">
        <v>60</v>
      </c>
      <c r="V25" s="2" t="s">
        <v>65</v>
      </c>
      <c r="W25" s="21" t="s">
        <v>60</v>
      </c>
    </row>
    <row r="26" spans="1:23" s="21" customFormat="1" x14ac:dyDescent="0.25">
      <c r="A26" s="4" t="s">
        <v>82</v>
      </c>
      <c r="B26" s="5">
        <v>0</v>
      </c>
      <c r="C26" s="6" t="s">
        <v>42</v>
      </c>
      <c r="D26" s="7">
        <v>3387.9855631731698</v>
      </c>
      <c r="E26" s="8">
        <v>3346.1044436870743</v>
      </c>
      <c r="F26" s="36">
        <v>3233.3598216475057</v>
      </c>
      <c r="G26" s="36">
        <v>3233.3598216478099</v>
      </c>
      <c r="H26" s="2"/>
      <c r="I26" s="16" t="s">
        <v>9</v>
      </c>
      <c r="J26" s="39" t="s">
        <v>72</v>
      </c>
      <c r="K26" s="39">
        <v>293</v>
      </c>
      <c r="L26" s="39">
        <v>1</v>
      </c>
      <c r="M26" s="39">
        <v>1</v>
      </c>
      <c r="N26" s="39" t="s">
        <v>66</v>
      </c>
      <c r="O26" s="23">
        <v>4</v>
      </c>
      <c r="P26" s="23" t="s">
        <v>74</v>
      </c>
      <c r="Q26" s="23">
        <v>1</v>
      </c>
      <c r="R26" s="23"/>
      <c r="S26" s="23"/>
      <c r="T26" s="23"/>
      <c r="U26" s="23"/>
      <c r="V26" s="23"/>
      <c r="W26" s="23"/>
    </row>
    <row r="27" spans="1:23" s="21" customFormat="1" x14ac:dyDescent="0.25">
      <c r="A27" s="4"/>
      <c r="B27" s="5"/>
      <c r="C27" s="6" t="s">
        <v>43</v>
      </c>
      <c r="D27" s="7">
        <v>0.54407376981818412</v>
      </c>
      <c r="E27" s="8">
        <v>0.45299687164927249</v>
      </c>
      <c r="F27" s="36">
        <v>0.30726046129750206</v>
      </c>
      <c r="G27" s="36">
        <v>0.30726046129748497</v>
      </c>
      <c r="H27" s="2"/>
      <c r="I27" s="16" t="s">
        <v>9</v>
      </c>
      <c r="J27" s="39" t="s">
        <v>73</v>
      </c>
      <c r="K27" s="39">
        <v>293</v>
      </c>
      <c r="L27" s="39">
        <v>1</v>
      </c>
      <c r="M27" s="39">
        <v>1</v>
      </c>
      <c r="N27" s="39" t="s">
        <v>75</v>
      </c>
      <c r="O27" s="23">
        <v>1</v>
      </c>
      <c r="P27" s="23"/>
      <c r="Q27" s="23"/>
      <c r="R27" s="23"/>
      <c r="S27" s="23"/>
      <c r="T27" s="23"/>
      <c r="U27" s="23"/>
      <c r="V27" s="23"/>
      <c r="W27" s="23"/>
    </row>
    <row r="28" spans="1:23" s="21" customFormat="1" x14ac:dyDescent="0.25">
      <c r="A28" s="4"/>
      <c r="B28" s="5"/>
      <c r="C28" s="6" t="s">
        <v>45</v>
      </c>
      <c r="D28" s="6">
        <v>-12435.523228604237</v>
      </c>
      <c r="E28" s="8">
        <v>-210182.23394655736</v>
      </c>
      <c r="F28" s="36">
        <v>-979529.87298320071</v>
      </c>
      <c r="G28" s="36">
        <v>-979529.87297921535</v>
      </c>
      <c r="H28" s="2"/>
      <c r="I28" s="2"/>
      <c r="J28" s="1"/>
      <c r="K28" s="1"/>
      <c r="L28" s="1"/>
      <c r="M28" s="1"/>
      <c r="N28" s="1"/>
    </row>
    <row r="29" spans="1:23" s="21" customFormat="1" x14ac:dyDescent="0.25">
      <c r="A29" s="2"/>
      <c r="B29" s="2"/>
      <c r="C29" s="37" t="s">
        <v>46</v>
      </c>
      <c r="D29" s="6">
        <v>-1850421.5748887956</v>
      </c>
      <c r="E29" s="6">
        <v>-2022209.0353540496</v>
      </c>
      <c r="F29" s="36">
        <v>-2709511.6959485882</v>
      </c>
      <c r="G29" s="36">
        <v>-2709511.6959446985</v>
      </c>
      <c r="H29" s="2"/>
      <c r="I29" s="2"/>
      <c r="J29" s="1"/>
      <c r="K29" s="1"/>
      <c r="L29" s="1"/>
      <c r="M29" s="1"/>
      <c r="N29" s="1"/>
    </row>
    <row r="30" spans="1:23" s="21" customFormat="1" x14ac:dyDescent="0.25">
      <c r="A30" s="2"/>
      <c r="B30" s="2"/>
      <c r="C30" s="6" t="s">
        <v>44</v>
      </c>
      <c r="D30" s="6">
        <v>16970.94864101545</v>
      </c>
      <c r="E30" s="6">
        <v>17019.224715399858</v>
      </c>
      <c r="F30" s="36">
        <v>17019.22471534101</v>
      </c>
      <c r="G30" s="36">
        <v>17019.224715345201</v>
      </c>
      <c r="H30" s="2"/>
      <c r="I30" s="2"/>
      <c r="J30" s="1"/>
      <c r="K30" s="1"/>
      <c r="L30" s="1"/>
      <c r="M30" s="1"/>
      <c r="N30" s="1"/>
    </row>
    <row r="31" spans="1:23" s="21" customFormat="1" x14ac:dyDescent="0.25">
      <c r="A31" s="2"/>
      <c r="B31" s="2"/>
      <c r="C31" s="6" t="s">
        <v>38</v>
      </c>
      <c r="D31" s="6">
        <v>15.326253330058973</v>
      </c>
      <c r="E31" s="6">
        <v>15.353646445223923</v>
      </c>
      <c r="F31" s="36">
        <v>15.539933549477691</v>
      </c>
      <c r="G31" s="36">
        <v>15.539933549478292</v>
      </c>
      <c r="H31" s="2"/>
      <c r="I31" s="2"/>
      <c r="J31" s="1"/>
      <c r="K31" s="1"/>
      <c r="L31" s="1"/>
      <c r="M31" s="1"/>
      <c r="N31" s="1"/>
    </row>
    <row r="32" spans="1:23" s="21" customFormat="1" x14ac:dyDescent="0.25">
      <c r="A32" s="2"/>
      <c r="B32" s="2"/>
      <c r="C32" s="6" t="s">
        <v>39</v>
      </c>
      <c r="D32" s="6">
        <v>14271.932158780077</v>
      </c>
      <c r="E32" s="6">
        <v>14420.357852563631</v>
      </c>
      <c r="F32" s="36">
        <v>14225.334748030325</v>
      </c>
      <c r="G32" s="36">
        <v>14225.334748038826</v>
      </c>
      <c r="I32" s="21" t="s">
        <v>83</v>
      </c>
    </row>
    <row r="33" spans="1:14" s="21" customFormat="1" x14ac:dyDescent="0.25">
      <c r="A33" s="2"/>
      <c r="B33" s="2"/>
      <c r="C33" s="6" t="s">
        <v>40</v>
      </c>
      <c r="D33" s="6">
        <v>1.1218468865118922</v>
      </c>
      <c r="E33" s="6">
        <v>1.1207224562826537</v>
      </c>
      <c r="F33" s="36">
        <v>1.1180460373777423</v>
      </c>
      <c r="G33" s="36">
        <v>1.1180460373780972</v>
      </c>
      <c r="H33" s="2"/>
      <c r="I33" s="2" t="s">
        <v>84</v>
      </c>
      <c r="J33" s="1" t="s">
        <v>85</v>
      </c>
      <c r="K33" s="1" t="s">
        <v>88</v>
      </c>
      <c r="L33" s="1"/>
      <c r="M33" s="1"/>
      <c r="N33" s="1"/>
    </row>
    <row r="34" spans="1:14" s="21" customFormat="1" x14ac:dyDescent="0.25">
      <c r="A34" s="2"/>
      <c r="B34" s="2"/>
      <c r="C34" s="6" t="s">
        <v>35</v>
      </c>
      <c r="D34" s="37">
        <v>0</v>
      </c>
      <c r="E34" s="37">
        <v>0.44130442930265734</v>
      </c>
      <c r="F34" s="36">
        <v>0.99999725405565865</v>
      </c>
      <c r="G34" s="36">
        <v>0.99999725405341178</v>
      </c>
      <c r="H34" s="2"/>
      <c r="I34" s="2" t="s">
        <v>86</v>
      </c>
      <c r="J34" s="1" t="s">
        <v>85</v>
      </c>
      <c r="K34" s="1" t="s">
        <v>87</v>
      </c>
      <c r="L34" s="1" t="s">
        <v>90</v>
      </c>
      <c r="M34" s="1" t="s">
        <v>85</v>
      </c>
      <c r="N34" s="1" t="s">
        <v>91</v>
      </c>
    </row>
    <row r="35" spans="1:14" s="21" customFormat="1" x14ac:dyDescent="0.25">
      <c r="A35" s="2"/>
      <c r="B35" s="2"/>
      <c r="C35" s="6" t="s">
        <v>36</v>
      </c>
      <c r="D35" s="7">
        <v>0</v>
      </c>
      <c r="E35" s="6">
        <v>1.5000000179213169</v>
      </c>
      <c r="F35" s="36">
        <v>1</v>
      </c>
      <c r="G35" s="36">
        <v>1</v>
      </c>
      <c r="L35" s="1" t="s">
        <v>89</v>
      </c>
      <c r="M35" s="1" t="s">
        <v>85</v>
      </c>
      <c r="N35" s="21" t="s">
        <v>92</v>
      </c>
    </row>
    <row r="36" spans="1:14" s="21" customFormat="1" x14ac:dyDescent="0.25">
      <c r="A36" s="29"/>
      <c r="B36" s="2"/>
      <c r="C36" s="36" t="s">
        <v>34</v>
      </c>
      <c r="D36" s="36">
        <v>0</v>
      </c>
      <c r="E36" s="36">
        <v>0.29372991727895487</v>
      </c>
      <c r="F36" s="36">
        <v>0.64957301045996829</v>
      </c>
      <c r="G36" s="36">
        <v>0.64957301045862992</v>
      </c>
      <c r="H36" s="2"/>
      <c r="I36" s="2"/>
      <c r="J36" s="1"/>
      <c r="K36" s="1"/>
      <c r="L36" s="1" t="s">
        <v>93</v>
      </c>
      <c r="M36" s="1" t="s">
        <v>85</v>
      </c>
      <c r="N36" s="21" t="s">
        <v>94</v>
      </c>
    </row>
    <row r="37" spans="1:14" s="21" customFormat="1" x14ac:dyDescent="0.25">
      <c r="A37" s="29"/>
      <c r="B37" s="2"/>
      <c r="C37" s="36" t="s">
        <v>47</v>
      </c>
      <c r="D37" s="36">
        <v>0</v>
      </c>
      <c r="E37" s="36">
        <v>3510.225839515103</v>
      </c>
      <c r="F37" s="36">
        <v>2634.6701787258908</v>
      </c>
      <c r="G37" s="36">
        <v>2634.6701787256575</v>
      </c>
      <c r="H37" s="2"/>
      <c r="I37" s="2"/>
      <c r="J37" s="1"/>
      <c r="K37" s="1"/>
      <c r="L37" s="1"/>
      <c r="M37" s="1"/>
      <c r="N37" s="1"/>
    </row>
    <row r="38" spans="1:14" s="21" customFormat="1" x14ac:dyDescent="0.25">
      <c r="A38" s="29"/>
      <c r="B38" s="2"/>
      <c r="C38" s="36" t="s">
        <v>48</v>
      </c>
      <c r="D38" s="36">
        <v>0</v>
      </c>
      <c r="E38" s="36">
        <v>628.8826770041502</v>
      </c>
      <c r="F38" s="36">
        <v>1390.751127811584</v>
      </c>
      <c r="G38" s="36">
        <v>1390.7511278087184</v>
      </c>
      <c r="H38" s="2"/>
      <c r="I38" s="2"/>
      <c r="J38" s="1"/>
      <c r="K38" s="1"/>
      <c r="L38" s="1"/>
      <c r="M38" s="1"/>
      <c r="N38" s="1"/>
    </row>
    <row r="39" spans="1:14" s="21" customFormat="1" x14ac:dyDescent="0.25">
      <c r="A39" s="29"/>
      <c r="B39" s="2"/>
      <c r="D39" s="29"/>
      <c r="E39" s="29"/>
      <c r="F39" s="29"/>
      <c r="G39" s="29"/>
      <c r="I39" s="6"/>
      <c r="J39" s="6"/>
    </row>
    <row r="40" spans="1:14" s="21" customFormat="1" x14ac:dyDescent="0.25">
      <c r="A40" s="38" t="s">
        <v>55</v>
      </c>
      <c r="B40" s="10" t="s">
        <v>56</v>
      </c>
      <c r="C40" s="37" t="s">
        <v>67</v>
      </c>
      <c r="D40" s="36">
        <v>3.5158484242856503E-3</v>
      </c>
      <c r="E40" s="36">
        <v>3.4828674979507923E-3</v>
      </c>
      <c r="F40" s="36">
        <v>3.1258047092705965E-3</v>
      </c>
      <c r="G40" s="36">
        <v>3.1258047092705965E-3</v>
      </c>
      <c r="I40" s="8"/>
      <c r="J40" s="8"/>
    </row>
    <row r="41" spans="1:14" s="21" customFormat="1" x14ac:dyDescent="0.25">
      <c r="A41" s="29"/>
      <c r="B41" s="2"/>
      <c r="C41" s="37" t="s">
        <v>68</v>
      </c>
      <c r="D41" s="36">
        <v>2.3323988716583699E-4</v>
      </c>
      <c r="E41" s="36">
        <v>2.0943484560120851E-4</v>
      </c>
      <c r="F41" s="36">
        <v>1.56404945300892E-4</v>
      </c>
      <c r="G41" s="36">
        <v>1.56404945300892E-4</v>
      </c>
      <c r="H41" s="29"/>
      <c r="I41" s="8"/>
      <c r="J41" s="8"/>
      <c r="K41" s="1"/>
      <c r="L41" s="1"/>
      <c r="M41" s="1"/>
      <c r="N41" s="1"/>
    </row>
    <row r="42" spans="1:14" s="21" customFormat="1" x14ac:dyDescent="0.25">
      <c r="A42" s="29"/>
      <c r="B42" s="29"/>
      <c r="C42" s="37" t="s">
        <v>49</v>
      </c>
      <c r="D42" s="36">
        <v>1.8155496567487717E-2</v>
      </c>
      <c r="E42" s="36">
        <v>1.7981793731451035E-2</v>
      </c>
      <c r="F42" s="36">
        <v>1.6913238912820816E-2</v>
      </c>
      <c r="G42" s="36">
        <v>1.6913238912820816E-2</v>
      </c>
      <c r="H42" s="29"/>
      <c r="I42" s="8"/>
      <c r="J42" s="8"/>
      <c r="K42" s="29"/>
      <c r="L42" s="29"/>
      <c r="M42" s="29"/>
      <c r="N42" s="29"/>
    </row>
    <row r="43" spans="1:14" s="21" customFormat="1" x14ac:dyDescent="0.25">
      <c r="A43" s="29"/>
      <c r="B43" s="29"/>
      <c r="C43" s="37" t="s">
        <v>37</v>
      </c>
      <c r="D43" s="36">
        <v>0.73984628915786743</v>
      </c>
      <c r="E43" s="36">
        <v>0.7430039644241333</v>
      </c>
      <c r="F43" s="36">
        <v>0.76143282651901245</v>
      </c>
      <c r="G43" s="36">
        <v>0.76143282651901245</v>
      </c>
      <c r="H43" s="29"/>
      <c r="I43" s="6"/>
      <c r="J43" s="6"/>
      <c r="K43" s="29"/>
      <c r="L43" s="29"/>
      <c r="M43" s="29"/>
      <c r="N43" s="29"/>
    </row>
    <row r="44" spans="1:14" s="21" customFormat="1" x14ac:dyDescent="0.25">
      <c r="A44" s="29"/>
      <c r="B44" s="29"/>
      <c r="C44" s="37" t="s">
        <v>69</v>
      </c>
      <c r="D44" s="36">
        <v>2.6601808713166974E-5</v>
      </c>
      <c r="E44" s="36">
        <v>2.3029064323054627E-5</v>
      </c>
      <c r="F44" s="36">
        <v>1.6268781109829433E-5</v>
      </c>
      <c r="G44" s="36">
        <v>1.6268781109829433E-5</v>
      </c>
      <c r="H44" s="29"/>
      <c r="I44" s="6"/>
      <c r="J44" s="6"/>
      <c r="K44" s="29"/>
      <c r="L44" s="29"/>
      <c r="M44" s="29"/>
      <c r="N44" s="29"/>
    </row>
    <row r="45" spans="1:14" s="21" customFormat="1" x14ac:dyDescent="0.25">
      <c r="A45" s="29"/>
      <c r="B45" s="29"/>
      <c r="C45" s="36" t="s">
        <v>54</v>
      </c>
      <c r="D45" s="36">
        <v>2.4925854057073593E-2</v>
      </c>
      <c r="E45" s="36">
        <v>2.4513805285096169E-2</v>
      </c>
      <c r="F45" s="36">
        <v>2.1532539278268814E-2</v>
      </c>
      <c r="G45" s="36">
        <v>2.1532539278268814E-2</v>
      </c>
      <c r="H45" s="29"/>
      <c r="I45" s="6"/>
      <c r="J45" s="6"/>
      <c r="K45" s="29"/>
      <c r="L45" s="29"/>
      <c r="M45" s="29"/>
      <c r="N45" s="29"/>
    </row>
    <row r="46" spans="1:14" s="21" customFormat="1" x14ac:dyDescent="0.25">
      <c r="A46" s="29"/>
      <c r="B46" s="29"/>
      <c r="C46" s="36" t="s">
        <v>52</v>
      </c>
      <c r="D46" s="36">
        <v>0.12538136541843414</v>
      </c>
      <c r="E46" s="36">
        <v>0.12292259186506271</v>
      </c>
      <c r="F46" s="36">
        <v>0.11221614480018616</v>
      </c>
      <c r="G46" s="36">
        <v>0.11221614480018616</v>
      </c>
      <c r="H46" s="29"/>
      <c r="I46" s="6"/>
      <c r="J46" s="6"/>
      <c r="K46" s="29"/>
      <c r="L46" s="29"/>
      <c r="M46" s="29"/>
      <c r="N46" s="29"/>
    </row>
    <row r="47" spans="1:14" s="21" customFormat="1" x14ac:dyDescent="0.25">
      <c r="A47" s="29"/>
      <c r="B47" s="29"/>
      <c r="C47" s="36" t="s">
        <v>53</v>
      </c>
      <c r="D47" s="36">
        <v>8.7915055453777313E-2</v>
      </c>
      <c r="E47" s="36">
        <v>8.7862290441989899E-2</v>
      </c>
      <c r="F47" s="36">
        <v>8.4606654942035675E-2</v>
      </c>
      <c r="G47" s="36">
        <v>8.4606654942035675E-2</v>
      </c>
      <c r="H47" s="29"/>
      <c r="I47" s="6"/>
      <c r="J47" s="6"/>
      <c r="K47" s="29"/>
      <c r="L47" s="29"/>
      <c r="M47" s="29"/>
      <c r="N47" s="29"/>
    </row>
    <row r="48" spans="1:14" s="21" customFormat="1" x14ac:dyDescent="0.25">
      <c r="A48" s="29"/>
      <c r="B48" s="29"/>
      <c r="C48" s="36"/>
      <c r="D48" s="36">
        <v>0</v>
      </c>
      <c r="E48" s="36">
        <v>0</v>
      </c>
      <c r="F48" s="36">
        <v>0</v>
      </c>
      <c r="G48" s="36">
        <v>0</v>
      </c>
      <c r="H48" s="29"/>
      <c r="I48" s="37"/>
      <c r="J48" s="37"/>
      <c r="K48" s="29"/>
      <c r="L48" s="29"/>
      <c r="M48" s="29"/>
      <c r="N48" s="29"/>
    </row>
    <row r="49" spans="1:14" s="21" customFormat="1" x14ac:dyDescent="0.25">
      <c r="A49" s="29"/>
      <c r="B49" s="29"/>
      <c r="C49" s="36"/>
      <c r="D49" s="36">
        <v>0</v>
      </c>
      <c r="E49" s="36">
        <v>0</v>
      </c>
      <c r="F49" s="36">
        <v>0</v>
      </c>
      <c r="G49" s="36">
        <v>0</v>
      </c>
      <c r="H49" s="29"/>
      <c r="I49" s="6"/>
      <c r="J49" s="6"/>
      <c r="K49" s="29"/>
      <c r="L49" s="29"/>
      <c r="M49" s="29"/>
      <c r="N49" s="29"/>
    </row>
    <row r="50" spans="1:14" s="21" customFormat="1" x14ac:dyDescent="0.25">
      <c r="A50" s="29"/>
      <c r="B50" s="29"/>
      <c r="C50" s="36"/>
      <c r="D50" s="36">
        <v>0</v>
      </c>
      <c r="E50" s="36">
        <v>0</v>
      </c>
      <c r="F50" s="36">
        <v>0</v>
      </c>
      <c r="G50" s="36">
        <v>0</v>
      </c>
      <c r="H50" s="29"/>
      <c r="I50" s="36"/>
      <c r="J50" s="36"/>
      <c r="K50" s="29"/>
      <c r="L50" s="29"/>
      <c r="M50" s="29"/>
      <c r="N50" s="29"/>
    </row>
    <row r="51" spans="1:14" s="21" customFormat="1" x14ac:dyDescent="0.25">
      <c r="A51" s="29"/>
      <c r="B51" s="29"/>
      <c r="C51" s="36"/>
      <c r="D51" s="36">
        <v>0</v>
      </c>
      <c r="E51" s="36">
        <v>0</v>
      </c>
      <c r="F51" s="36">
        <v>0</v>
      </c>
      <c r="G51" s="36">
        <v>0</v>
      </c>
      <c r="H51" s="29"/>
      <c r="I51" s="36"/>
      <c r="J51" s="36"/>
      <c r="K51" s="29"/>
      <c r="L51" s="29"/>
      <c r="M51" s="29"/>
      <c r="N51" s="29"/>
    </row>
    <row r="52" spans="1:14" s="21" customFormat="1" x14ac:dyDescent="0.25">
      <c r="C52" s="37"/>
      <c r="D52" s="37">
        <v>0</v>
      </c>
      <c r="E52" s="37">
        <v>0</v>
      </c>
      <c r="F52" s="37">
        <v>0</v>
      </c>
      <c r="G52" s="37">
        <v>0</v>
      </c>
      <c r="I52" s="36"/>
      <c r="J52" s="36"/>
    </row>
    <row r="53" spans="1:14" s="21" customFormat="1" x14ac:dyDescent="0.25">
      <c r="C53" s="37"/>
      <c r="D53" s="37">
        <v>0</v>
      </c>
      <c r="E53" s="37">
        <v>0</v>
      </c>
      <c r="F53" s="37">
        <v>0</v>
      </c>
      <c r="G53" s="37">
        <v>0</v>
      </c>
    </row>
    <row r="54" spans="1:14" s="21" customFormat="1" x14ac:dyDescent="0.25"/>
    <row r="55" spans="1:14" s="21" customFormat="1" x14ac:dyDescent="0.25"/>
    <row r="56" spans="1:14" s="21" customFormat="1" x14ac:dyDescent="0.25"/>
    <row r="57" spans="1:14" s="21" customFormat="1" x14ac:dyDescent="0.25"/>
    <row r="58" spans="1:14" s="21" customFormat="1" x14ac:dyDescent="0.25"/>
  </sheetData>
  <mergeCells count="1">
    <mergeCell ref="I21:J21"/>
  </mergeCells>
  <dataValidations count="2">
    <dataValidation type="list" showInputMessage="1" showErrorMessage="1" sqref="G1:G2 I26:I27">
      <formula1>component</formula1>
    </dataValidation>
    <dataValidation type="list" allowBlank="1" showInputMessage="1" showErrorMessage="1" sqref="G3">
      <formula1>component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est_hp">
                <anchor moveWithCells="1">
                  <from>
                    <xdr:col>3</xdr:col>
                    <xdr:colOff>28575</xdr:colOff>
                    <xdr:row>16</xdr:row>
                    <xdr:rowOff>57150</xdr:rowOff>
                  </from>
                  <to>
                    <xdr:col>3</xdr:col>
                    <xdr:colOff>495300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it_cea">
                <anchor moveWithCells="1">
                  <from>
                    <xdr:col>0</xdr:col>
                    <xdr:colOff>219075</xdr:colOff>
                    <xdr:row>16</xdr:row>
                    <xdr:rowOff>28575</xdr:rowOff>
                  </from>
                  <to>
                    <xdr:col>0</xdr:col>
                    <xdr:colOff>809625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Test_Tp">
                <anchor moveWithCells="1">
                  <from>
                    <xdr:col>2</xdr:col>
                    <xdr:colOff>238125</xdr:colOff>
                    <xdr:row>16</xdr:row>
                    <xdr:rowOff>152400</xdr:rowOff>
                  </from>
                  <to>
                    <xdr:col>2</xdr:col>
                    <xdr:colOff>704850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CEA_Isoentr_T">
                <anchor moveWithCells="1">
                  <from>
                    <xdr:col>6</xdr:col>
                    <xdr:colOff>9525</xdr:colOff>
                    <xdr:row>16</xdr:row>
                    <xdr:rowOff>123825</xdr:rowOff>
                  </from>
                  <to>
                    <xdr:col>6</xdr:col>
                    <xdr:colOff>695325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CEA_Stat_Tot">
                <anchor moveWithCells="1">
                  <from>
                    <xdr:col>14</xdr:col>
                    <xdr:colOff>247650</xdr:colOff>
                    <xdr:row>16</xdr:row>
                    <xdr:rowOff>0</xdr:rowOff>
                  </from>
                  <to>
                    <xdr:col>15</xdr:col>
                    <xdr:colOff>323850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CEA_Tot_Stat">
                <anchor moveWithCells="1">
                  <from>
                    <xdr:col>14</xdr:col>
                    <xdr:colOff>247650</xdr:colOff>
                    <xdr:row>19</xdr:row>
                    <xdr:rowOff>0</xdr:rowOff>
                  </from>
                  <to>
                    <xdr:col>15</xdr:col>
                    <xdr:colOff>323850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Test_Tp">
                <anchor moveWithCells="1">
                  <from>
                    <xdr:col>2</xdr:col>
                    <xdr:colOff>238125</xdr:colOff>
                    <xdr:row>16</xdr:row>
                    <xdr:rowOff>38100</xdr:rowOff>
                  </from>
                  <to>
                    <xdr:col>2</xdr:col>
                    <xdr:colOff>704850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ocket">
                <anchor moveWithCells="1">
                  <from>
                    <xdr:col>0</xdr:col>
                    <xdr:colOff>152400</xdr:colOff>
                    <xdr:row>26</xdr:row>
                    <xdr:rowOff>66675</xdr:rowOff>
                  </from>
                  <to>
                    <xdr:col>0</xdr:col>
                    <xdr:colOff>762000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6 (2)</vt:lpstr>
      <vt:lpstr>Лист1</vt:lpstr>
      <vt:lpstr>component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migmile</dc:creator>
  <cp:lastModifiedBy>migmile</cp:lastModifiedBy>
  <dcterms:created xsi:type="dcterms:W3CDTF">2015-01-28T19:07:19Z</dcterms:created>
  <dcterms:modified xsi:type="dcterms:W3CDTF">2018-05-07T10:15:02Z</dcterms:modified>
</cp:coreProperties>
</file>